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39" i="1"/>
  <c r="G39" s="1"/>
  <c r="H6"/>
  <c r="H23"/>
  <c r="H14"/>
  <c r="H20"/>
  <c r="H33"/>
  <c r="H8"/>
  <c r="H35"/>
  <c r="H32"/>
  <c r="H30"/>
  <c r="H11"/>
  <c r="H28"/>
  <c r="H21"/>
  <c r="H26"/>
  <c r="H10"/>
  <c r="H7"/>
  <c r="H19"/>
  <c r="H36"/>
  <c r="H37"/>
  <c r="H3"/>
  <c r="H5"/>
  <c r="H24"/>
  <c r="H22"/>
  <c r="H31"/>
  <c r="H25"/>
  <c r="H9"/>
  <c r="H38"/>
  <c r="H12"/>
  <c r="H4"/>
  <c r="H29"/>
  <c r="H16"/>
  <c r="H18"/>
  <c r="H27"/>
  <c r="H15"/>
  <c r="H13"/>
  <c r="H17"/>
  <c r="H34"/>
  <c r="G6"/>
  <c r="G23"/>
  <c r="G14"/>
  <c r="G20"/>
  <c r="G33"/>
  <c r="G8"/>
  <c r="G35"/>
  <c r="G32"/>
  <c r="G30"/>
  <c r="G11"/>
  <c r="G28"/>
  <c r="G21"/>
  <c r="G26"/>
  <c r="G10"/>
  <c r="G7"/>
  <c r="G19"/>
  <c r="G36"/>
  <c r="G37"/>
  <c r="G3"/>
  <c r="G5"/>
  <c r="G24"/>
  <c r="G22"/>
  <c r="G31"/>
  <c r="G25"/>
  <c r="G9"/>
  <c r="G38"/>
  <c r="G12"/>
  <c r="G4"/>
  <c r="G29"/>
  <c r="G16"/>
  <c r="G18"/>
  <c r="G27"/>
  <c r="G15"/>
  <c r="G13"/>
  <c r="G17"/>
  <c r="G34"/>
  <c r="E39"/>
  <c r="F39"/>
  <c r="H39" l="1"/>
</calcChain>
</file>

<file path=xl/sharedStrings.xml><?xml version="1.0" encoding="utf-8"?>
<sst xmlns="http://schemas.openxmlformats.org/spreadsheetml/2006/main" count="82" uniqueCount="48">
  <si>
    <t>No.</t>
  </si>
  <si>
    <t>State / Union Territory</t>
  </si>
  <si>
    <t>Type</t>
  </si>
  <si>
    <t>Area (km²)</t>
  </si>
  <si>
    <t>Andaman and Nicobar Islands</t>
  </si>
  <si>
    <t>UT</t>
  </si>
  <si>
    <t>Andhra Pradesh</t>
  </si>
  <si>
    <t>State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</si>
  <si>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</si>
  <si>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</si>
  <si>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</si>
  <si>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</si>
  <si>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</si>
  <si>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</si>
  <si>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</si>
  <si>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</si>
  <si>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</si>
  <si>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</si>
  <si>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</si>
  <si>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</si>
  <si>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</si>
  <si>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</si>
  <si>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</si>
  <si>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</si>
  <si>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</si>
  <si>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</si>
  <si>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</si>
  <si>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</si>
  <si>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</si>
  <si>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</si>
  <si>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</si>
  <si>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</si>
  <si>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</si>
  <si>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</si>
  <si>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</si>
  <si>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</si>
  <si>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</si>
  <si>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</si>
  <si>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</si>
  <si>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</si>
  <si>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</si>
  <si>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</si>
  <si>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Soil Samples (n)</t>
  </si>
  <si>
    <t>Stream Sediment Samples(n)</t>
  </si>
  <si>
    <t>Soil sample Density</t>
  </si>
  <si>
    <t>Stream Sample Density</t>
  </si>
  <si>
    <t>Grand Total</t>
  </si>
  <si>
    <t>Data in NGDR as on 17.09.2026</t>
  </si>
</sst>
</file>

<file path=xl/styles.xml><?xml version="1.0" encoding="utf-8"?>
<styleSheet xmlns="http://schemas.openxmlformats.org/spreadsheetml/2006/main">
  <numFmts count="1">
    <numFmt numFmtId="173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wrapText="1"/>
    </xf>
    <xf numFmtId="2" fontId="0" fillId="0" borderId="0" xfId="0" applyNumberFormat="1"/>
    <xf numFmtId="173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cat>
            <c:strRef>
              <c:f>Sheet1!$B$3:$B$38</c:f>
              <c:strCache>
                <c:ptCount val="36"/>
                <c:pt idx="0">
                  <c:v>Madhya Pradesh</c:v>
                </c:pt>
                <c:pt idx="1">
                  <c:v>Rajasthan</c:v>
                </c:pt>
                <c:pt idx="2">
                  <c:v>Maharashtra</c:v>
                </c:pt>
                <c:pt idx="3">
                  <c:v>Andhra Pradesh</c:v>
                </c:pt>
                <c:pt idx="4">
                  <c:v>Karnataka</c:v>
                </c:pt>
                <c:pt idx="5">
                  <c:v>Chhattisgarh</c:v>
                </c:pt>
                <c:pt idx="6">
                  <c:v>Odisha</c:v>
                </c:pt>
                <c:pt idx="7">
                  <c:v>Jharkhand</c:v>
                </c:pt>
                <c:pt idx="8">
                  <c:v>Gujarat</c:v>
                </c:pt>
                <c:pt idx="9">
                  <c:v>Punjab</c:v>
                </c:pt>
                <c:pt idx="10">
                  <c:v>Uttarakhand</c:v>
                </c:pt>
                <c:pt idx="11">
                  <c:v>Assam</c:v>
                </c:pt>
                <c:pt idx="12">
                  <c:v>Uttar Pradesh</c:v>
                </c:pt>
                <c:pt idx="13">
                  <c:v>Tamil Nadu</c:v>
                </c:pt>
                <c:pt idx="14">
                  <c:v>West Bengal</c:v>
                </c:pt>
                <c:pt idx="15">
                  <c:v>Telangana</c:v>
                </c:pt>
                <c:pt idx="16">
                  <c:v>Kerala</c:v>
                </c:pt>
                <c:pt idx="17">
                  <c:v>Bihar</c:v>
                </c:pt>
                <c:pt idx="18">
                  <c:v>Himachal Pradesh</c:v>
                </c:pt>
                <c:pt idx="19">
                  <c:v>Meghalaya</c:v>
                </c:pt>
                <c:pt idx="20">
                  <c:v>Arunachal Pradesh</c:v>
                </c:pt>
                <c:pt idx="21">
                  <c:v>Manipur</c:v>
                </c:pt>
                <c:pt idx="22">
                  <c:v>Nagaland</c:v>
                </c:pt>
                <c:pt idx="23">
                  <c:v>Jammu and Kashmir</c:v>
                </c:pt>
                <c:pt idx="24">
                  <c:v>Tripura</c:v>
                </c:pt>
                <c:pt idx="25">
                  <c:v>Haryana</c:v>
                </c:pt>
                <c:pt idx="26">
                  <c:v>Sikkim</c:v>
                </c:pt>
                <c:pt idx="27">
                  <c:v>Goa</c:v>
                </c:pt>
                <c:pt idx="28">
                  <c:v>Mizoram</c:v>
                </c:pt>
                <c:pt idx="29">
                  <c:v>Delhi</c:v>
                </c:pt>
                <c:pt idx="30">
                  <c:v>Chandigarh</c:v>
                </c:pt>
                <c:pt idx="31">
                  <c:v>Andaman and Nicobar Islands</c:v>
                </c:pt>
                <c:pt idx="32">
                  <c:v>Dadra and Nagar Haveli and Daman and Diu</c:v>
                </c:pt>
                <c:pt idx="33">
                  <c:v>Ladakh</c:v>
                </c:pt>
                <c:pt idx="34">
                  <c:v>Lakshadweep</c:v>
                </c:pt>
                <c:pt idx="35">
                  <c:v>Puducherry</c:v>
                </c:pt>
              </c:strCache>
            </c:strRef>
          </c:cat>
          <c:val>
            <c:numRef>
              <c:f>Sheet1!$E$3:$E$38</c:f>
              <c:numCache>
                <c:formatCode>General</c:formatCode>
                <c:ptCount val="36"/>
                <c:pt idx="0">
                  <c:v>6518</c:v>
                </c:pt>
                <c:pt idx="1">
                  <c:v>5854</c:v>
                </c:pt>
                <c:pt idx="2">
                  <c:v>4384</c:v>
                </c:pt>
                <c:pt idx="3">
                  <c:v>3874</c:v>
                </c:pt>
                <c:pt idx="4">
                  <c:v>3696</c:v>
                </c:pt>
                <c:pt idx="5">
                  <c:v>3518</c:v>
                </c:pt>
                <c:pt idx="6">
                  <c:v>2028</c:v>
                </c:pt>
                <c:pt idx="7">
                  <c:v>1758</c:v>
                </c:pt>
                <c:pt idx="8">
                  <c:v>1740</c:v>
                </c:pt>
                <c:pt idx="9">
                  <c:v>1224</c:v>
                </c:pt>
                <c:pt idx="10">
                  <c:v>1114</c:v>
                </c:pt>
                <c:pt idx="11">
                  <c:v>1098</c:v>
                </c:pt>
                <c:pt idx="12">
                  <c:v>1092</c:v>
                </c:pt>
                <c:pt idx="13">
                  <c:v>1048</c:v>
                </c:pt>
                <c:pt idx="14">
                  <c:v>1048</c:v>
                </c:pt>
                <c:pt idx="15">
                  <c:v>908</c:v>
                </c:pt>
                <c:pt idx="16">
                  <c:v>790</c:v>
                </c:pt>
                <c:pt idx="17">
                  <c:v>780</c:v>
                </c:pt>
                <c:pt idx="18">
                  <c:v>778</c:v>
                </c:pt>
                <c:pt idx="19">
                  <c:v>624</c:v>
                </c:pt>
                <c:pt idx="20">
                  <c:v>432</c:v>
                </c:pt>
                <c:pt idx="21">
                  <c:v>424</c:v>
                </c:pt>
                <c:pt idx="22">
                  <c:v>378</c:v>
                </c:pt>
                <c:pt idx="23">
                  <c:v>236</c:v>
                </c:pt>
                <c:pt idx="24">
                  <c:v>186</c:v>
                </c:pt>
                <c:pt idx="25">
                  <c:v>154</c:v>
                </c:pt>
                <c:pt idx="26">
                  <c:v>74</c:v>
                </c:pt>
                <c:pt idx="27">
                  <c:v>40</c:v>
                </c:pt>
                <c:pt idx="28">
                  <c:v>32</c:v>
                </c:pt>
                <c:pt idx="29">
                  <c:v>8</c:v>
                </c:pt>
                <c:pt idx="30">
                  <c:v>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1"/>
          <c:order val="1"/>
          <c:cat>
            <c:strRef>
              <c:f>Sheet1!$B$3:$B$38</c:f>
              <c:strCache>
                <c:ptCount val="36"/>
                <c:pt idx="0">
                  <c:v>Madhya Pradesh</c:v>
                </c:pt>
                <c:pt idx="1">
                  <c:v>Rajasthan</c:v>
                </c:pt>
                <c:pt idx="2">
                  <c:v>Maharashtra</c:v>
                </c:pt>
                <c:pt idx="3">
                  <c:v>Andhra Pradesh</c:v>
                </c:pt>
                <c:pt idx="4">
                  <c:v>Karnataka</c:v>
                </c:pt>
                <c:pt idx="5">
                  <c:v>Chhattisgarh</c:v>
                </c:pt>
                <c:pt idx="6">
                  <c:v>Odisha</c:v>
                </c:pt>
                <c:pt idx="7">
                  <c:v>Jharkhand</c:v>
                </c:pt>
                <c:pt idx="8">
                  <c:v>Gujarat</c:v>
                </c:pt>
                <c:pt idx="9">
                  <c:v>Punjab</c:v>
                </c:pt>
                <c:pt idx="10">
                  <c:v>Uttarakhand</c:v>
                </c:pt>
                <c:pt idx="11">
                  <c:v>Assam</c:v>
                </c:pt>
                <c:pt idx="12">
                  <c:v>Uttar Pradesh</c:v>
                </c:pt>
                <c:pt idx="13">
                  <c:v>Tamil Nadu</c:v>
                </c:pt>
                <c:pt idx="14">
                  <c:v>West Bengal</c:v>
                </c:pt>
                <c:pt idx="15">
                  <c:v>Telangana</c:v>
                </c:pt>
                <c:pt idx="16">
                  <c:v>Kerala</c:v>
                </c:pt>
                <c:pt idx="17">
                  <c:v>Bihar</c:v>
                </c:pt>
                <c:pt idx="18">
                  <c:v>Himachal Pradesh</c:v>
                </c:pt>
                <c:pt idx="19">
                  <c:v>Meghalaya</c:v>
                </c:pt>
                <c:pt idx="20">
                  <c:v>Arunachal Pradesh</c:v>
                </c:pt>
                <c:pt idx="21">
                  <c:v>Manipur</c:v>
                </c:pt>
                <c:pt idx="22">
                  <c:v>Nagaland</c:v>
                </c:pt>
                <c:pt idx="23">
                  <c:v>Jammu and Kashmir</c:v>
                </c:pt>
                <c:pt idx="24">
                  <c:v>Tripura</c:v>
                </c:pt>
                <c:pt idx="25">
                  <c:v>Haryana</c:v>
                </c:pt>
                <c:pt idx="26">
                  <c:v>Sikkim</c:v>
                </c:pt>
                <c:pt idx="27">
                  <c:v>Goa</c:v>
                </c:pt>
                <c:pt idx="28">
                  <c:v>Mizoram</c:v>
                </c:pt>
                <c:pt idx="29">
                  <c:v>Delhi</c:v>
                </c:pt>
                <c:pt idx="30">
                  <c:v>Chandigarh</c:v>
                </c:pt>
                <c:pt idx="31">
                  <c:v>Andaman and Nicobar Islands</c:v>
                </c:pt>
                <c:pt idx="32">
                  <c:v>Dadra and Nagar Haveli and Daman and Diu</c:v>
                </c:pt>
                <c:pt idx="33">
                  <c:v>Ladakh</c:v>
                </c:pt>
                <c:pt idx="34">
                  <c:v>Lakshadweep</c:v>
                </c:pt>
                <c:pt idx="35">
                  <c:v>Puducherry</c:v>
                </c:pt>
              </c:strCache>
            </c:strRef>
          </c:cat>
          <c:val>
            <c:numRef>
              <c:f>Sheet1!$F$3:$F$38</c:f>
              <c:numCache>
                <c:formatCode>General</c:formatCode>
                <c:ptCount val="36"/>
                <c:pt idx="0">
                  <c:v>59704</c:v>
                </c:pt>
                <c:pt idx="1">
                  <c:v>64331</c:v>
                </c:pt>
                <c:pt idx="2">
                  <c:v>41780</c:v>
                </c:pt>
                <c:pt idx="3">
                  <c:v>36505</c:v>
                </c:pt>
                <c:pt idx="4">
                  <c:v>45697</c:v>
                </c:pt>
                <c:pt idx="5">
                  <c:v>22470</c:v>
                </c:pt>
                <c:pt idx="6">
                  <c:v>32472</c:v>
                </c:pt>
                <c:pt idx="7">
                  <c:v>18579</c:v>
                </c:pt>
                <c:pt idx="8">
                  <c:v>35282</c:v>
                </c:pt>
                <c:pt idx="9">
                  <c:v>3025</c:v>
                </c:pt>
                <c:pt idx="10">
                  <c:v>7525</c:v>
                </c:pt>
                <c:pt idx="11">
                  <c:v>9690</c:v>
                </c:pt>
                <c:pt idx="12">
                  <c:v>12191</c:v>
                </c:pt>
                <c:pt idx="13">
                  <c:v>31284</c:v>
                </c:pt>
                <c:pt idx="14">
                  <c:v>9446</c:v>
                </c:pt>
                <c:pt idx="15">
                  <c:v>25803</c:v>
                </c:pt>
                <c:pt idx="16">
                  <c:v>8477</c:v>
                </c:pt>
                <c:pt idx="17">
                  <c:v>7807</c:v>
                </c:pt>
                <c:pt idx="18">
                  <c:v>5944</c:v>
                </c:pt>
                <c:pt idx="19">
                  <c:v>5267</c:v>
                </c:pt>
                <c:pt idx="20">
                  <c:v>2947</c:v>
                </c:pt>
                <c:pt idx="21">
                  <c:v>3395</c:v>
                </c:pt>
                <c:pt idx="22">
                  <c:v>3598</c:v>
                </c:pt>
                <c:pt idx="23">
                  <c:v>4186</c:v>
                </c:pt>
                <c:pt idx="24">
                  <c:v>2466</c:v>
                </c:pt>
                <c:pt idx="25">
                  <c:v>3248</c:v>
                </c:pt>
                <c:pt idx="26">
                  <c:v>512</c:v>
                </c:pt>
                <c:pt idx="27">
                  <c:v>734</c:v>
                </c:pt>
                <c:pt idx="28">
                  <c:v>4243</c:v>
                </c:pt>
                <c:pt idx="29">
                  <c:v>206</c:v>
                </c:pt>
                <c:pt idx="30">
                  <c:v>32</c:v>
                </c:pt>
                <c:pt idx="31">
                  <c:v>0</c:v>
                </c:pt>
                <c:pt idx="32">
                  <c:v>52</c:v>
                </c:pt>
                <c:pt idx="33">
                  <c:v>1249</c:v>
                </c:pt>
                <c:pt idx="34">
                  <c:v>0</c:v>
                </c:pt>
                <c:pt idx="35">
                  <c:v>132</c:v>
                </c:pt>
              </c:numCache>
            </c:numRef>
          </c:val>
        </c:ser>
        <c:marker val="1"/>
        <c:axId val="46245760"/>
        <c:axId val="46247936"/>
      </c:lineChart>
      <c:catAx>
        <c:axId val="46245760"/>
        <c:scaling>
          <c:orientation val="minMax"/>
        </c:scaling>
        <c:axPos val="b"/>
        <c:tickLblPos val="nextTo"/>
        <c:crossAx val="46247936"/>
        <c:crosses val="autoZero"/>
        <c:auto val="1"/>
        <c:lblAlgn val="ctr"/>
        <c:lblOffset val="100"/>
      </c:catAx>
      <c:valAx>
        <c:axId val="46247936"/>
        <c:scaling>
          <c:orientation val="minMax"/>
        </c:scaling>
        <c:axPos val="l"/>
        <c:majorGridlines/>
        <c:numFmt formatCode="General" sourceLinked="1"/>
        <c:tickLblPos val="nextTo"/>
        <c:crossAx val="462457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247651</xdr:colOff>
      <xdr:row>12</xdr:row>
      <xdr:rowOff>152400</xdr:rowOff>
    </xdr:from>
    <xdr:to>
      <xdr:col>23</xdr:col>
      <xdr:colOff>352425</xdr:colOff>
      <xdr:row>25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topLeftCell="A7" workbookViewId="0">
      <selection sqref="A1:H39"/>
    </sheetView>
  </sheetViews>
  <sheetFormatPr defaultRowHeight="15"/>
  <cols>
    <col min="2" max="2" width="16.42578125" customWidth="1"/>
    <col min="3" max="3" width="20.85546875" customWidth="1"/>
    <col min="4" max="4" width="25.28515625" customWidth="1"/>
    <col min="5" max="5" width="12.7109375" customWidth="1"/>
    <col min="6" max="6" width="17.85546875" customWidth="1"/>
    <col min="7" max="7" width="12" customWidth="1"/>
    <col min="8" max="8" width="9.5703125" bestFit="1" customWidth="1"/>
  </cols>
  <sheetData>
    <row r="1" spans="1:8">
      <c r="A1" s="6" t="s">
        <v>47</v>
      </c>
      <c r="B1" s="6"/>
      <c r="C1" s="6"/>
      <c r="D1" s="6"/>
      <c r="E1" s="6"/>
      <c r="F1" s="6"/>
      <c r="G1" s="6"/>
      <c r="H1" s="6"/>
    </row>
    <row r="2" spans="1:8" ht="45">
      <c r="A2" s="1" t="s">
        <v>0</v>
      </c>
      <c r="B2" s="1" t="s">
        <v>1</v>
      </c>
      <c r="C2" s="1" t="s">
        <v>2</v>
      </c>
      <c r="D2" s="1" t="s">
        <v>3</v>
      </c>
      <c r="E2" s="1" t="s">
        <v>42</v>
      </c>
      <c r="F2" s="1" t="s">
        <v>43</v>
      </c>
      <c r="G2" s="1" t="s">
        <v>44</v>
      </c>
      <c r="H2" s="1" t="s">
        <v>45</v>
      </c>
    </row>
    <row r="3" spans="1:8">
      <c r="A3" s="2">
        <v>1</v>
      </c>
      <c r="B3" s="2" t="s">
        <v>25</v>
      </c>
      <c r="C3" s="2" t="s">
        <v>7</v>
      </c>
      <c r="D3" s="3">
        <v>308252</v>
      </c>
      <c r="E3">
        <v>6518</v>
      </c>
      <c r="F3" s="2">
        <v>59704</v>
      </c>
      <c r="G3" s="5">
        <f>(E3/D3)*1000</f>
        <v>21.145037177374356</v>
      </c>
      <c r="H3" s="5">
        <f>(F3/D3)*1000</f>
        <v>193.68568573764321</v>
      </c>
    </row>
    <row r="4" spans="1:8">
      <c r="A4" s="2">
        <v>2</v>
      </c>
      <c r="B4" s="2" t="s">
        <v>34</v>
      </c>
      <c r="C4" s="2" t="s">
        <v>7</v>
      </c>
      <c r="D4" s="3">
        <v>342239</v>
      </c>
      <c r="E4">
        <v>5854</v>
      </c>
      <c r="F4" s="2">
        <v>64331</v>
      </c>
      <c r="G4" s="5">
        <f>(E4/D4)*1000</f>
        <v>17.105005566285548</v>
      </c>
      <c r="H4" s="5">
        <f>(F4/D4)*1000</f>
        <v>187.97097934484381</v>
      </c>
    </row>
    <row r="5" spans="1:8">
      <c r="A5" s="2">
        <v>3</v>
      </c>
      <c r="B5" s="2" t="s">
        <v>26</v>
      </c>
      <c r="C5" s="2" t="s">
        <v>7</v>
      </c>
      <c r="D5" s="3">
        <v>307713</v>
      </c>
      <c r="E5">
        <v>4384</v>
      </c>
      <c r="F5" s="2">
        <v>41780</v>
      </c>
      <c r="G5" s="5">
        <f>(E5/D5)*1000</f>
        <v>14.247041886433138</v>
      </c>
      <c r="H5" s="5">
        <f>(F5/D5)*1000</f>
        <v>135.77586907280488</v>
      </c>
    </row>
    <row r="6" spans="1:8">
      <c r="A6" s="2">
        <v>4</v>
      </c>
      <c r="B6" s="2" t="s">
        <v>6</v>
      </c>
      <c r="C6" s="2" t="s">
        <v>7</v>
      </c>
      <c r="D6" s="3">
        <v>162968</v>
      </c>
      <c r="E6">
        <v>3874</v>
      </c>
      <c r="F6" s="2">
        <v>36505</v>
      </c>
      <c r="G6" s="5">
        <f>(E6/D6)*1000</f>
        <v>23.771537970644541</v>
      </c>
      <c r="H6" s="5">
        <f>(F6/D6)*1000</f>
        <v>224.00103087722741</v>
      </c>
    </row>
    <row r="7" spans="1:8">
      <c r="A7" s="2">
        <v>5</v>
      </c>
      <c r="B7" s="2" t="s">
        <v>21</v>
      </c>
      <c r="C7" s="2" t="s">
        <v>7</v>
      </c>
      <c r="D7" s="3">
        <v>191791</v>
      </c>
      <c r="E7">
        <v>3696</v>
      </c>
      <c r="F7" s="2">
        <v>45697</v>
      </c>
      <c r="G7" s="5">
        <f>(E7/D7)*1000</f>
        <v>19.270977261706754</v>
      </c>
      <c r="H7" s="5">
        <f>(F7/D7)*1000</f>
        <v>238.26456924464651</v>
      </c>
    </row>
    <row r="8" spans="1:8">
      <c r="A8" s="2">
        <v>6</v>
      </c>
      <c r="B8" s="2" t="s">
        <v>12</v>
      </c>
      <c r="C8" s="2" t="s">
        <v>7</v>
      </c>
      <c r="D8" s="3">
        <v>135192</v>
      </c>
      <c r="E8">
        <v>3518</v>
      </c>
      <c r="F8" s="2">
        <v>22470</v>
      </c>
      <c r="G8" s="5">
        <f>(E8/D8)*1000</f>
        <v>26.022249837268479</v>
      </c>
      <c r="H8" s="5">
        <f>(F8/D8)*1000</f>
        <v>166.2080596484999</v>
      </c>
    </row>
    <row r="9" spans="1:8">
      <c r="A9" s="2">
        <v>7</v>
      </c>
      <c r="B9" s="2" t="s">
        <v>31</v>
      </c>
      <c r="C9" s="2" t="s">
        <v>7</v>
      </c>
      <c r="D9" s="3">
        <v>155707</v>
      </c>
      <c r="E9">
        <v>2028</v>
      </c>
      <c r="F9" s="2">
        <v>32472</v>
      </c>
      <c r="G9" s="5">
        <f>(E9/D9)*1000</f>
        <v>13.02446261247086</v>
      </c>
      <c r="H9" s="5">
        <f>(F9/D9)*1000</f>
        <v>208.54553745175232</v>
      </c>
    </row>
    <row r="10" spans="1:8">
      <c r="A10" s="2">
        <v>8</v>
      </c>
      <c r="B10" s="2" t="s">
        <v>20</v>
      </c>
      <c r="C10" s="2" t="s">
        <v>7</v>
      </c>
      <c r="D10" s="3">
        <v>79716</v>
      </c>
      <c r="E10">
        <v>1758</v>
      </c>
      <c r="F10" s="2">
        <v>18579</v>
      </c>
      <c r="G10" s="5">
        <f>(E10/D10)*1000</f>
        <v>22.053289176576847</v>
      </c>
      <c r="H10" s="5">
        <f>(F10/D10)*1000</f>
        <v>233.06488032515429</v>
      </c>
    </row>
    <row r="11" spans="1:8">
      <c r="A11" s="2">
        <v>9</v>
      </c>
      <c r="B11" s="2" t="s">
        <v>16</v>
      </c>
      <c r="C11" s="2" t="s">
        <v>7</v>
      </c>
      <c r="D11" s="3">
        <v>196024</v>
      </c>
      <c r="E11">
        <v>1740</v>
      </c>
      <c r="F11" s="2">
        <v>35282</v>
      </c>
      <c r="G11" s="5">
        <f>(E11/D11)*1000</f>
        <v>8.8764641064359466</v>
      </c>
      <c r="H11" s="5">
        <f>(F11/D11)*1000</f>
        <v>179.98816471452474</v>
      </c>
    </row>
    <row r="12" spans="1:8">
      <c r="A12" s="2">
        <v>10</v>
      </c>
      <c r="B12" s="2" t="s">
        <v>33</v>
      </c>
      <c r="C12" s="2" t="s">
        <v>7</v>
      </c>
      <c r="D12" s="3">
        <v>50362</v>
      </c>
      <c r="E12">
        <v>1224</v>
      </c>
      <c r="F12" s="2">
        <v>3025</v>
      </c>
      <c r="G12" s="5">
        <f>(E12/D12)*1000</f>
        <v>24.304038759382074</v>
      </c>
      <c r="H12" s="5">
        <f>(F12/D12)*1000</f>
        <v>60.065128469878083</v>
      </c>
    </row>
    <row r="13" spans="1:8">
      <c r="A13" s="2">
        <v>11</v>
      </c>
      <c r="B13" s="2" t="s">
        <v>40</v>
      </c>
      <c r="C13" s="2" t="s">
        <v>7</v>
      </c>
      <c r="D13" s="3">
        <v>53483</v>
      </c>
      <c r="E13">
        <v>1114</v>
      </c>
      <c r="F13" s="2">
        <v>7525</v>
      </c>
      <c r="G13" s="4">
        <f>(E13/D13)*1000</f>
        <v>20.829048482695434</v>
      </c>
      <c r="H13" s="4">
        <f>(F13/D13)*1000</f>
        <v>140.69891367350374</v>
      </c>
    </row>
    <row r="14" spans="1:8">
      <c r="A14" s="2">
        <v>12</v>
      </c>
      <c r="B14" s="2" t="s">
        <v>9</v>
      </c>
      <c r="C14" s="2" t="s">
        <v>7</v>
      </c>
      <c r="D14" s="3">
        <v>78438</v>
      </c>
      <c r="E14">
        <v>1098</v>
      </c>
      <c r="F14" s="2">
        <v>9690</v>
      </c>
      <c r="G14" s="5">
        <f>(E14/D14)*1000</f>
        <v>13.998317142201484</v>
      </c>
      <c r="H14" s="5">
        <f>(F14/D14)*1000</f>
        <v>123.5370611183355</v>
      </c>
    </row>
    <row r="15" spans="1:8">
      <c r="A15" s="2">
        <v>13</v>
      </c>
      <c r="B15" s="2" t="s">
        <v>39</v>
      </c>
      <c r="C15" s="2" t="s">
        <v>7</v>
      </c>
      <c r="D15" s="3">
        <v>240928</v>
      </c>
      <c r="E15">
        <v>1092</v>
      </c>
      <c r="F15" s="2">
        <v>12191</v>
      </c>
      <c r="G15" s="5">
        <f>(E15/D15)*1000</f>
        <v>4.532474432195511</v>
      </c>
      <c r="H15" s="5">
        <f>(F15/D15)*1000</f>
        <v>50.600179306680836</v>
      </c>
    </row>
    <row r="16" spans="1:8">
      <c r="A16" s="2">
        <v>14</v>
      </c>
      <c r="B16" s="2" t="s">
        <v>36</v>
      </c>
      <c r="C16" s="2" t="s">
        <v>7</v>
      </c>
      <c r="D16" s="3">
        <v>130060</v>
      </c>
      <c r="E16">
        <v>1048</v>
      </c>
      <c r="F16" s="2">
        <v>31284</v>
      </c>
      <c r="G16" s="5">
        <f>(E16/D16)*1000</f>
        <v>8.0578194679378754</v>
      </c>
      <c r="H16" s="5">
        <f>(F16/D16)*1000</f>
        <v>240.53513762878671</v>
      </c>
    </row>
    <row r="17" spans="1:8">
      <c r="A17" s="2">
        <v>15</v>
      </c>
      <c r="B17" s="2" t="s">
        <v>41</v>
      </c>
      <c r="C17" s="2" t="s">
        <v>7</v>
      </c>
      <c r="D17" s="3">
        <v>88752</v>
      </c>
      <c r="E17">
        <v>1048</v>
      </c>
      <c r="F17" s="2">
        <v>9446</v>
      </c>
      <c r="G17" s="4">
        <f>(E17/D17)*1000</f>
        <v>11.808184604290608</v>
      </c>
      <c r="H17" s="4">
        <f>(F17/D17)*1000</f>
        <v>106.43140436271858</v>
      </c>
    </row>
    <row r="18" spans="1:8">
      <c r="A18" s="2">
        <v>16</v>
      </c>
      <c r="B18" s="2" t="s">
        <v>37</v>
      </c>
      <c r="C18" s="2" t="s">
        <v>7</v>
      </c>
      <c r="D18" s="3">
        <v>112077</v>
      </c>
      <c r="E18">
        <v>908</v>
      </c>
      <c r="F18" s="2">
        <v>25803</v>
      </c>
      <c r="G18" s="5">
        <f>(E18/D18)*1000</f>
        <v>8.1015730256876974</v>
      </c>
      <c r="H18" s="5">
        <f>(F18/D18)*1000</f>
        <v>230.22564843812737</v>
      </c>
    </row>
    <row r="19" spans="1:8">
      <c r="A19" s="2">
        <v>17</v>
      </c>
      <c r="B19" s="2" t="s">
        <v>22</v>
      </c>
      <c r="C19" s="2" t="s">
        <v>7</v>
      </c>
      <c r="D19" s="3">
        <v>38852</v>
      </c>
      <c r="E19">
        <v>790</v>
      </c>
      <c r="F19" s="2">
        <v>8477</v>
      </c>
      <c r="G19" s="5">
        <f>(E19/D19)*1000</f>
        <v>20.333573561206631</v>
      </c>
      <c r="H19" s="5">
        <f>(F19/D19)*1000</f>
        <v>218.18696592196028</v>
      </c>
    </row>
    <row r="20" spans="1:8">
      <c r="A20" s="2">
        <v>18</v>
      </c>
      <c r="B20" s="2" t="s">
        <v>10</v>
      </c>
      <c r="C20" s="2" t="s">
        <v>7</v>
      </c>
      <c r="D20" s="3">
        <v>94163</v>
      </c>
      <c r="E20">
        <v>780</v>
      </c>
      <c r="F20" s="2">
        <v>7807</v>
      </c>
      <c r="G20" s="5">
        <f>(E20/D20)*1000</f>
        <v>8.283508384397269</v>
      </c>
      <c r="H20" s="5">
        <f>(F20/D20)*1000</f>
        <v>82.909423021781379</v>
      </c>
    </row>
    <row r="21" spans="1:8" ht="30">
      <c r="A21" s="2">
        <v>19</v>
      </c>
      <c r="B21" s="2" t="s">
        <v>18</v>
      </c>
      <c r="C21" s="2" t="s">
        <v>7</v>
      </c>
      <c r="D21" s="3">
        <v>55673</v>
      </c>
      <c r="E21">
        <v>778</v>
      </c>
      <c r="F21" s="2">
        <v>5944</v>
      </c>
      <c r="G21" s="5">
        <f>(E21/D21)*1000</f>
        <v>13.974457995796886</v>
      </c>
      <c r="H21" s="5">
        <f>(F21/D21)*1000</f>
        <v>106.76629605014998</v>
      </c>
    </row>
    <row r="22" spans="1:8">
      <c r="A22" s="2">
        <v>20</v>
      </c>
      <c r="B22" s="2" t="s">
        <v>28</v>
      </c>
      <c r="C22" s="2" t="s">
        <v>7</v>
      </c>
      <c r="D22" s="3">
        <v>22429</v>
      </c>
      <c r="E22">
        <v>624</v>
      </c>
      <c r="F22" s="2">
        <v>5267</v>
      </c>
      <c r="G22" s="5">
        <f>(E22/D22)*1000</f>
        <v>27.821124437112669</v>
      </c>
      <c r="H22" s="5">
        <f>(F22/D22)*1000</f>
        <v>234.82990770876989</v>
      </c>
    </row>
    <row r="23" spans="1:8" ht="30">
      <c r="A23" s="2">
        <v>21</v>
      </c>
      <c r="B23" s="2" t="s">
        <v>8</v>
      </c>
      <c r="C23" s="2" t="s">
        <v>7</v>
      </c>
      <c r="D23" s="3">
        <v>83743</v>
      </c>
      <c r="E23">
        <v>432</v>
      </c>
      <c r="F23" s="2">
        <v>2947</v>
      </c>
      <c r="G23" s="5">
        <f>(E23/D23)*1000</f>
        <v>5.1586401251447889</v>
      </c>
      <c r="H23" s="5">
        <f>(F23/D23)*1000</f>
        <v>35.191001038892807</v>
      </c>
    </row>
    <row r="24" spans="1:8">
      <c r="A24" s="2">
        <v>22</v>
      </c>
      <c r="B24" s="2" t="s">
        <v>27</v>
      </c>
      <c r="C24" s="2" t="s">
        <v>7</v>
      </c>
      <c r="D24" s="3">
        <v>22327</v>
      </c>
      <c r="E24">
        <v>424</v>
      </c>
      <c r="F24" s="2">
        <v>3395</v>
      </c>
      <c r="G24" s="5">
        <f>(E24/D24)*1000</f>
        <v>18.990459981188692</v>
      </c>
      <c r="H24" s="5">
        <f>(F24/D24)*1000</f>
        <v>152.0580463116406</v>
      </c>
    </row>
    <row r="25" spans="1:8">
      <c r="A25" s="2">
        <v>23</v>
      </c>
      <c r="B25" s="2" t="s">
        <v>30</v>
      </c>
      <c r="C25" s="2" t="s">
        <v>7</v>
      </c>
      <c r="D25" s="3">
        <v>16579</v>
      </c>
      <c r="E25">
        <v>378</v>
      </c>
      <c r="F25" s="2">
        <v>3598</v>
      </c>
      <c r="G25" s="5">
        <f>(E25/D25)*1000</f>
        <v>22.799927619277398</v>
      </c>
      <c r="H25" s="5">
        <f>(F25/D25)*1000</f>
        <v>217.02153326497375</v>
      </c>
    </row>
    <row r="26" spans="1:8" ht="30">
      <c r="A26" s="2">
        <v>24</v>
      </c>
      <c r="B26" s="2" t="s">
        <v>19</v>
      </c>
      <c r="C26" s="2" t="s">
        <v>5</v>
      </c>
      <c r="D26" s="3">
        <v>42241</v>
      </c>
      <c r="E26">
        <v>236</v>
      </c>
      <c r="F26" s="2">
        <v>4186</v>
      </c>
      <c r="G26" s="5">
        <f>(E26/D26)*1000</f>
        <v>5.5869889443905212</v>
      </c>
      <c r="H26" s="5">
        <f>(F26/D26)*1000</f>
        <v>99.098032717028474</v>
      </c>
    </row>
    <row r="27" spans="1:8">
      <c r="A27" s="2">
        <v>25</v>
      </c>
      <c r="B27" s="2" t="s">
        <v>38</v>
      </c>
      <c r="C27" s="2" t="s">
        <v>7</v>
      </c>
      <c r="D27" s="3">
        <v>10486</v>
      </c>
      <c r="E27">
        <v>186</v>
      </c>
      <c r="F27" s="2">
        <v>2466</v>
      </c>
      <c r="G27" s="5">
        <f>(E27/D27)*1000</f>
        <v>17.737936296013732</v>
      </c>
      <c r="H27" s="5">
        <f>(F27/D27)*1000</f>
        <v>235.17070379553689</v>
      </c>
    </row>
    <row r="28" spans="1:8">
      <c r="A28" s="2">
        <v>26</v>
      </c>
      <c r="B28" s="2" t="s">
        <v>17</v>
      </c>
      <c r="C28" s="2" t="s">
        <v>7</v>
      </c>
      <c r="D28" s="3">
        <v>44212</v>
      </c>
      <c r="E28">
        <v>154</v>
      </c>
      <c r="F28" s="2">
        <v>3248</v>
      </c>
      <c r="G28" s="5">
        <f>(E28/D28)*1000</f>
        <v>3.4832172260924636</v>
      </c>
      <c r="H28" s="5">
        <f>(F28/D28)*1000</f>
        <v>73.464217859404684</v>
      </c>
    </row>
    <row r="29" spans="1:8">
      <c r="A29" s="2">
        <v>27</v>
      </c>
      <c r="B29" s="2" t="s">
        <v>35</v>
      </c>
      <c r="C29" s="2" t="s">
        <v>7</v>
      </c>
      <c r="D29" s="3">
        <v>7096</v>
      </c>
      <c r="E29">
        <v>74</v>
      </c>
      <c r="F29" s="2">
        <v>512</v>
      </c>
      <c r="G29" s="5">
        <f>(E29/D29)*1000</f>
        <v>10.428410372040586</v>
      </c>
      <c r="H29" s="5">
        <f>(F29/D29)*1000</f>
        <v>72.153325817361889</v>
      </c>
    </row>
    <row r="30" spans="1:8">
      <c r="A30" s="2">
        <v>28</v>
      </c>
      <c r="B30" s="2" t="s">
        <v>15</v>
      </c>
      <c r="C30" s="2" t="s">
        <v>7</v>
      </c>
      <c r="D30" s="3">
        <v>3702</v>
      </c>
      <c r="E30">
        <v>40</v>
      </c>
      <c r="F30" s="2">
        <v>734</v>
      </c>
      <c r="G30" s="5">
        <f>(E30/D30)*1000</f>
        <v>10.804970286331713</v>
      </c>
      <c r="H30" s="5">
        <f>(F30/D30)*1000</f>
        <v>198.27120475418693</v>
      </c>
    </row>
    <row r="31" spans="1:8">
      <c r="A31" s="2">
        <v>29</v>
      </c>
      <c r="B31" s="2" t="s">
        <v>29</v>
      </c>
      <c r="C31" s="2" t="s">
        <v>7</v>
      </c>
      <c r="D31" s="3">
        <v>21081</v>
      </c>
      <c r="E31">
        <v>32</v>
      </c>
      <c r="F31" s="2">
        <v>4243</v>
      </c>
      <c r="G31" s="5">
        <f>(E31/D31)*1000</f>
        <v>1.5179545562354728</v>
      </c>
      <c r="H31" s="5">
        <f>(F31/D31)*1000</f>
        <v>201.2712869408472</v>
      </c>
    </row>
    <row r="32" spans="1:8">
      <c r="A32" s="2">
        <v>30</v>
      </c>
      <c r="B32" s="2" t="s">
        <v>14</v>
      </c>
      <c r="C32" s="2" t="s">
        <v>5</v>
      </c>
      <c r="D32" s="3">
        <v>1483</v>
      </c>
      <c r="E32">
        <v>8</v>
      </c>
      <c r="F32" s="2">
        <v>206</v>
      </c>
      <c r="G32" s="5">
        <f>(E32/D32)*1000</f>
        <v>5.394470667565745</v>
      </c>
      <c r="H32" s="5">
        <f>(F32/D32)*1000</f>
        <v>138.90761968981795</v>
      </c>
    </row>
    <row r="33" spans="1:8">
      <c r="A33" s="2">
        <v>31</v>
      </c>
      <c r="B33" s="2" t="s">
        <v>11</v>
      </c>
      <c r="C33" s="2" t="s">
        <v>5</v>
      </c>
      <c r="D33" s="2">
        <v>114</v>
      </c>
      <c r="E33">
        <v>4</v>
      </c>
      <c r="F33" s="2">
        <v>32</v>
      </c>
      <c r="G33" s="5">
        <f>(E33/D33)*1000</f>
        <v>35.087719298245609</v>
      </c>
      <c r="H33" s="5">
        <f>(F33/D33)*1000</f>
        <v>280.70175438596488</v>
      </c>
    </row>
    <row r="34" spans="1:8" ht="27.75" customHeight="1">
      <c r="A34" s="2">
        <v>32</v>
      </c>
      <c r="B34" s="2" t="s">
        <v>4</v>
      </c>
      <c r="C34" s="2" t="s">
        <v>5</v>
      </c>
      <c r="D34" s="3">
        <v>8249</v>
      </c>
      <c r="E34">
        <v>0</v>
      </c>
      <c r="F34" s="2">
        <v>0</v>
      </c>
      <c r="G34">
        <f>(E34/D34)*1000</f>
        <v>0</v>
      </c>
      <c r="H34">
        <f>(F34/D34)*1000</f>
        <v>0</v>
      </c>
    </row>
    <row r="35" spans="1:8" ht="17.25" customHeight="1">
      <c r="A35" s="2">
        <v>33</v>
      </c>
      <c r="B35" s="2" t="s">
        <v>13</v>
      </c>
      <c r="C35" s="2" t="s">
        <v>5</v>
      </c>
      <c r="D35" s="2">
        <v>603</v>
      </c>
      <c r="E35">
        <v>0</v>
      </c>
      <c r="F35" s="2">
        <v>52</v>
      </c>
      <c r="G35" s="5">
        <f>(E35/D35)*1000</f>
        <v>0</v>
      </c>
      <c r="H35" s="5">
        <f>(F35/D35)*1000</f>
        <v>86.235489220563849</v>
      </c>
    </row>
    <row r="36" spans="1:8">
      <c r="A36" s="2">
        <v>34</v>
      </c>
      <c r="B36" s="2" t="s">
        <v>23</v>
      </c>
      <c r="C36" s="2" t="s">
        <v>5</v>
      </c>
      <c r="D36" s="3">
        <v>59000</v>
      </c>
      <c r="E36">
        <v>0</v>
      </c>
      <c r="F36" s="2">
        <v>1249</v>
      </c>
      <c r="G36" s="5">
        <f>(E36/D36)*1000</f>
        <v>0</v>
      </c>
      <c r="H36" s="5">
        <f>(F36/D36)*1000</f>
        <v>21.169491525423727</v>
      </c>
    </row>
    <row r="37" spans="1:8">
      <c r="A37" s="2">
        <v>35</v>
      </c>
      <c r="B37" s="2" t="s">
        <v>24</v>
      </c>
      <c r="C37" s="2" t="s">
        <v>5</v>
      </c>
      <c r="D37" s="2">
        <v>32</v>
      </c>
      <c r="E37">
        <v>0</v>
      </c>
      <c r="F37" s="2">
        <v>0</v>
      </c>
      <c r="G37" s="5">
        <f>(E37/D37)*1000</f>
        <v>0</v>
      </c>
      <c r="H37" s="5">
        <f>(F37/D37)*1000</f>
        <v>0</v>
      </c>
    </row>
    <row r="38" spans="1:8">
      <c r="A38" s="2">
        <v>36</v>
      </c>
      <c r="B38" s="2" t="s">
        <v>32</v>
      </c>
      <c r="C38" s="2" t="s">
        <v>5</v>
      </c>
      <c r="D38" s="2">
        <v>490</v>
      </c>
      <c r="E38">
        <v>0</v>
      </c>
      <c r="F38" s="2">
        <v>132</v>
      </c>
      <c r="G38" s="5">
        <f>(E38/D38)*1000</f>
        <v>0</v>
      </c>
      <c r="H38" s="5">
        <f>(F38/D38)*1000</f>
        <v>269.38775510204084</v>
      </c>
    </row>
    <row r="39" spans="1:8">
      <c r="A39" s="7" t="s">
        <v>46</v>
      </c>
      <c r="B39" s="7"/>
      <c r="C39" s="7"/>
      <c r="D39" s="8">
        <f>SUM(D4:D38)</f>
        <v>2858005</v>
      </c>
      <c r="E39" s="9">
        <f>SUM(E4:E38)</f>
        <v>39324</v>
      </c>
      <c r="F39" s="9">
        <f>SUM(F4:F38)</f>
        <v>450575</v>
      </c>
      <c r="G39" s="10">
        <f t="shared" ref="G39" si="0">(E39/D39)*1000</f>
        <v>13.759248146871682</v>
      </c>
      <c r="H39" s="10">
        <f t="shared" ref="H39" si="1">(F39/D39)*1000</f>
        <v>157.6536780026627</v>
      </c>
    </row>
  </sheetData>
  <mergeCells count="2">
    <mergeCell ref="A39:C39"/>
    <mergeCell ref="A1:H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INP</dc:creator>
  <cp:lastModifiedBy>INP</cp:lastModifiedBy>
  <dcterms:created xsi:type="dcterms:W3CDTF">2026-09-17T05:34:02Z</dcterms:created>
  <dcterms:modified xsi:type="dcterms:W3CDTF">2026-09-17T09:42:18Z</dcterms:modified>
</cp:coreProperties>
</file>